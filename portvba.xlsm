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ihaoyu/Documents/"/>
    </mc:Choice>
  </mc:AlternateContent>
  <xr:revisionPtr revIDLastSave="0" documentId="13_ncr:1_{F6A20DE5-86AB-C84D-976C-2D86A3C49581}" xr6:coauthVersionLast="36" xr6:coauthVersionMax="36" xr10:uidLastSave="{00000000-0000-0000-0000-000000000000}"/>
  <bookViews>
    <workbookView xWindow="300" yWindow="460" windowWidth="28040" windowHeight="16000" activeTab="1" xr2:uid="{15C9095C-0527-AE46-9401-3973765BB858}"/>
  </bookViews>
  <sheets>
    <sheet name="Sheet1 (2)" sheetId="2" r:id="rId1"/>
    <sheet name="Sheet1" sheetId="1" r:id="rId2"/>
  </sheets>
  <functionGroups builtInGroupCount="19"/>
  <definedNames>
    <definedName name="solver_adj" localSheetId="0" hidden="1">'Sheet1 (2)'!$F$3:$F$5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'Sheet1 (2)'!$F$3</definedName>
    <definedName name="solver_lhs2" localSheetId="0" hidden="1">'Sheet1 (2)'!$F$4</definedName>
    <definedName name="solver_lhs3" localSheetId="0" hidden="1">'Sheet1 (2)'!$F$5</definedName>
    <definedName name="solver_lhs4" localSheetId="0" hidden="1">'Sheet1 (2)'!$F$7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opt" localSheetId="0" hidden="1">'Sheet1 (2)'!$H$16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2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hs4" localSheetId="0" hidden="1">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1" i="1" l="1"/>
  <c r="L1" i="1"/>
  <c r="I5" i="1"/>
  <c r="I9" i="1"/>
  <c r="I13" i="1"/>
  <c r="I17" i="1"/>
  <c r="I21" i="1"/>
  <c r="I25" i="1"/>
  <c r="G34" i="1"/>
  <c r="G41" i="1" s="1"/>
  <c r="H7" i="1"/>
  <c r="H11" i="1"/>
  <c r="H15" i="1"/>
  <c r="H19" i="1"/>
  <c r="H23" i="1"/>
  <c r="H11" i="2"/>
  <c r="I12" i="2"/>
  <c r="C7" i="2"/>
  <c r="F1" i="1"/>
  <c r="P1" i="1" s="1"/>
  <c r="P13" i="1" s="1"/>
  <c r="N15" i="1" s="1"/>
  <c r="G1" i="1"/>
  <c r="Q1" i="1" s="1"/>
  <c r="Q13" i="1" s="1"/>
  <c r="N16" i="1" s="1"/>
  <c r="E1" i="1"/>
  <c r="J1" i="1" s="1"/>
  <c r="E5" i="1"/>
  <c r="J6" i="1" s="1"/>
  <c r="F5" i="1"/>
  <c r="K6" i="1" s="1"/>
  <c r="G5" i="1"/>
  <c r="Q2" i="1" s="1"/>
  <c r="E6" i="1"/>
  <c r="H6" i="1" s="1"/>
  <c r="F6" i="1"/>
  <c r="K7" i="1" s="1"/>
  <c r="G6" i="1"/>
  <c r="L7" i="1" s="1"/>
  <c r="E7" i="1"/>
  <c r="J8" i="1" s="1"/>
  <c r="F7" i="1"/>
  <c r="P3" i="1" s="1"/>
  <c r="E4" i="2" s="1"/>
  <c r="G7" i="1"/>
  <c r="L8" i="1" s="1"/>
  <c r="E8" i="1"/>
  <c r="H8" i="1" s="1"/>
  <c r="F8" i="1"/>
  <c r="K9" i="1" s="1"/>
  <c r="G8" i="1"/>
  <c r="Q3" i="1" s="1"/>
  <c r="E5" i="2" s="1"/>
  <c r="E9" i="1"/>
  <c r="J10" i="1" s="1"/>
  <c r="F9" i="1"/>
  <c r="K10" i="1" s="1"/>
  <c r="G9" i="1"/>
  <c r="L10" i="1" s="1"/>
  <c r="E10" i="1"/>
  <c r="J11" i="1" s="1"/>
  <c r="F10" i="1"/>
  <c r="K11" i="1" s="1"/>
  <c r="G10" i="1"/>
  <c r="L11" i="1" s="1"/>
  <c r="E11" i="1"/>
  <c r="J12" i="1" s="1"/>
  <c r="F11" i="1"/>
  <c r="K12" i="1" s="1"/>
  <c r="G11" i="1"/>
  <c r="L12" i="1" s="1"/>
  <c r="E12" i="1"/>
  <c r="H12" i="1" s="1"/>
  <c r="F12" i="1"/>
  <c r="I12" i="1" s="1"/>
  <c r="G12" i="1"/>
  <c r="L13" i="1" s="1"/>
  <c r="E13" i="1"/>
  <c r="J14" i="1" s="1"/>
  <c r="F13" i="1"/>
  <c r="K14" i="1" s="1"/>
  <c r="G13" i="1"/>
  <c r="L14" i="1" s="1"/>
  <c r="E14" i="1"/>
  <c r="H14" i="1" s="1"/>
  <c r="F14" i="1"/>
  <c r="K15" i="1" s="1"/>
  <c r="G14" i="1"/>
  <c r="L15" i="1" s="1"/>
  <c r="E15" i="1"/>
  <c r="J16" i="1" s="1"/>
  <c r="F15" i="1"/>
  <c r="K16" i="1" s="1"/>
  <c r="G15" i="1"/>
  <c r="L16" i="1" s="1"/>
  <c r="E16" i="1"/>
  <c r="H16" i="1" s="1"/>
  <c r="F16" i="1"/>
  <c r="I16" i="1" s="1"/>
  <c r="G16" i="1"/>
  <c r="L17" i="1" s="1"/>
  <c r="E17" i="1"/>
  <c r="J18" i="1" s="1"/>
  <c r="F17" i="1"/>
  <c r="K18" i="1" s="1"/>
  <c r="G17" i="1"/>
  <c r="L18" i="1" s="1"/>
  <c r="E18" i="1"/>
  <c r="H18" i="1" s="1"/>
  <c r="F18" i="1"/>
  <c r="K19" i="1" s="1"/>
  <c r="G18" i="1"/>
  <c r="L19" i="1" s="1"/>
  <c r="E19" i="1"/>
  <c r="J20" i="1" s="1"/>
  <c r="F19" i="1"/>
  <c r="K20" i="1" s="1"/>
  <c r="G19" i="1"/>
  <c r="L20" i="1" s="1"/>
  <c r="E20" i="1"/>
  <c r="H20" i="1" s="1"/>
  <c r="F20" i="1"/>
  <c r="K21" i="1" s="1"/>
  <c r="G20" i="1"/>
  <c r="L21" i="1" s="1"/>
  <c r="E21" i="1"/>
  <c r="J22" i="1" s="1"/>
  <c r="F21" i="1"/>
  <c r="K22" i="1" s="1"/>
  <c r="G21" i="1"/>
  <c r="L22" i="1" s="1"/>
  <c r="E22" i="1"/>
  <c r="H22" i="1" s="1"/>
  <c r="F22" i="1"/>
  <c r="K23" i="1" s="1"/>
  <c r="G22" i="1"/>
  <c r="L23" i="1" s="1"/>
  <c r="E23" i="1"/>
  <c r="J24" i="1" s="1"/>
  <c r="F23" i="1"/>
  <c r="K24" i="1" s="1"/>
  <c r="G23" i="1"/>
  <c r="L24" i="1" s="1"/>
  <c r="E24" i="1"/>
  <c r="H24" i="1" s="1"/>
  <c r="F24" i="1"/>
  <c r="K25" i="1" s="1"/>
  <c r="G24" i="1"/>
  <c r="L25" i="1" s="1"/>
  <c r="E25" i="1"/>
  <c r="H25" i="1" s="1"/>
  <c r="F25" i="1"/>
  <c r="G25" i="1"/>
  <c r="E4" i="1"/>
  <c r="Q4" i="1" s="1"/>
  <c r="Q14" i="1" s="1"/>
  <c r="F4" i="1"/>
  <c r="K5" i="1" s="1"/>
  <c r="G4" i="1"/>
  <c r="I10" i="2" l="1"/>
  <c r="O16" i="1"/>
  <c r="G12" i="2" s="1"/>
  <c r="I20" i="1"/>
  <c r="I8" i="1"/>
  <c r="K13" i="1"/>
  <c r="L6" i="1"/>
  <c r="O2" i="1"/>
  <c r="K30" i="2"/>
  <c r="H1" i="1"/>
  <c r="L9" i="1"/>
  <c r="P4" i="1"/>
  <c r="Q15" i="1" s="1"/>
  <c r="H10" i="1"/>
  <c r="K17" i="1"/>
  <c r="P2" i="1"/>
  <c r="O4" i="1"/>
  <c r="O15" i="1" s="1"/>
  <c r="P10" i="1"/>
  <c r="D5" i="2" s="1"/>
  <c r="H21" i="1"/>
  <c r="H17" i="1"/>
  <c r="H13" i="1"/>
  <c r="H9" i="1"/>
  <c r="H5" i="1"/>
  <c r="I1" i="1"/>
  <c r="I23" i="1"/>
  <c r="I19" i="1"/>
  <c r="I15" i="1"/>
  <c r="I11" i="1"/>
  <c r="I7" i="1"/>
  <c r="J5" i="1"/>
  <c r="L5" i="1"/>
  <c r="J25" i="1"/>
  <c r="J21" i="1"/>
  <c r="J17" i="1"/>
  <c r="J13" i="1"/>
  <c r="J9" i="1"/>
  <c r="P9" i="1"/>
  <c r="D4" i="2" s="1"/>
  <c r="J23" i="1"/>
  <c r="J19" i="1"/>
  <c r="J15" i="1"/>
  <c r="K8" i="1"/>
  <c r="J7" i="1"/>
  <c r="O1" i="1"/>
  <c r="O13" i="1" s="1"/>
  <c r="H4" i="1"/>
  <c r="E35" i="1" s="1" a="1"/>
  <c r="I24" i="1"/>
  <c r="P8" i="1"/>
  <c r="D3" i="2" s="1"/>
  <c r="O3" i="1"/>
  <c r="E3" i="2" s="1"/>
  <c r="E28" i="1" a="1"/>
  <c r="E29" i="1" s="1"/>
  <c r="I4" i="1"/>
  <c r="I22" i="1"/>
  <c r="I18" i="1"/>
  <c r="I14" i="1"/>
  <c r="I10" i="1"/>
  <c r="I6" i="1"/>
  <c r="K29" i="2"/>
  <c r="F35" i="1" l="1"/>
  <c r="G37" i="1"/>
  <c r="F37" i="1"/>
  <c r="E37" i="1"/>
  <c r="G36" i="1"/>
  <c r="E39" i="1"/>
  <c r="G38" i="1"/>
  <c r="F38" i="1"/>
  <c r="E38" i="1"/>
  <c r="F36" i="1"/>
  <c r="E36" i="1"/>
  <c r="G35" i="1"/>
  <c r="E35" i="1"/>
  <c r="G39" i="1"/>
  <c r="F39" i="1"/>
  <c r="P16" i="1"/>
  <c r="H12" i="2" s="1"/>
  <c r="I11" i="2"/>
  <c r="P14" i="1"/>
  <c r="H10" i="2" s="1"/>
  <c r="G11" i="2"/>
  <c r="F30" i="1"/>
  <c r="G30" i="1"/>
  <c r="E31" i="1"/>
  <c r="F31" i="1"/>
  <c r="G31" i="1"/>
  <c r="E32" i="1"/>
  <c r="F32" i="1"/>
  <c r="G32" i="1"/>
  <c r="F29" i="1"/>
  <c r="G29" i="1"/>
  <c r="E30" i="1"/>
  <c r="E42" i="1" a="1"/>
  <c r="E28" i="1"/>
  <c r="F28" i="1"/>
  <c r="G28" i="1"/>
  <c r="C13" i="2"/>
  <c r="C14" i="2" s="1"/>
  <c r="C12" i="2"/>
  <c r="K28" i="2"/>
  <c r="B29" i="2" s="1" a="1"/>
  <c r="F7" i="2"/>
  <c r="C20" i="2"/>
  <c r="E42" i="1" l="1"/>
  <c r="G46" i="1"/>
  <c r="F46" i="1"/>
  <c r="E46" i="1"/>
  <c r="E43" i="1"/>
  <c r="G42" i="1"/>
  <c r="F42" i="1"/>
  <c r="G45" i="1"/>
  <c r="F45" i="1"/>
  <c r="E45" i="1"/>
  <c r="G44" i="1"/>
  <c r="F44" i="1"/>
  <c r="E44" i="1"/>
  <c r="G43" i="1"/>
  <c r="F43" i="1"/>
  <c r="H16" i="2"/>
  <c r="C29" i="2"/>
  <c r="B29" i="2"/>
  <c r="D29" i="2"/>
  <c r="E35" i="2" l="1" a="1"/>
  <c r="G35" i="2" l="1"/>
  <c r="E35" i="2"/>
  <c r="F35" i="2"/>
  <c r="I36" i="2" l="1" a="1"/>
  <c r="I36" i="2" s="1"/>
  <c r="C21" i="2" a="1"/>
  <c r="C21" i="2" s="1"/>
  <c r="C22" i="2" s="1"/>
</calcChain>
</file>

<file path=xl/sharedStrings.xml><?xml version="1.0" encoding="utf-8"?>
<sst xmlns="http://schemas.openxmlformats.org/spreadsheetml/2006/main" count="66" uniqueCount="39">
  <si>
    <t>Investment</t>
  </si>
  <si>
    <t>Return</t>
  </si>
  <si>
    <t>Volatility (ST Dev)</t>
  </si>
  <si>
    <t>Weights</t>
  </si>
  <si>
    <t>A</t>
  </si>
  <si>
    <t>B</t>
  </si>
  <si>
    <t>C</t>
  </si>
  <si>
    <t>Date</t>
  </si>
  <si>
    <t>Adj Close</t>
  </si>
  <si>
    <t>MSFT</t>
  </si>
  <si>
    <t>APPL</t>
  </si>
  <si>
    <t>TSLA</t>
  </si>
  <si>
    <t>Stcok name</t>
  </si>
  <si>
    <t>Volatility</t>
  </si>
  <si>
    <t>mean</t>
  </si>
  <si>
    <t>std</t>
  </si>
  <si>
    <t>corr</t>
  </si>
  <si>
    <t>correlation matrix</t>
  </si>
  <si>
    <t xml:space="preserve">sharpe ratio </t>
  </si>
  <si>
    <t xml:space="preserve">Stock Name </t>
  </si>
  <si>
    <t>Total</t>
  </si>
  <si>
    <t>CORRELATION MATRIX</t>
  </si>
  <si>
    <t>Portfolios using formula</t>
  </si>
  <si>
    <t>Returns</t>
  </si>
  <si>
    <t>Variance</t>
  </si>
  <si>
    <t>Volatility (risk)</t>
  </si>
  <si>
    <t>Portfolios using exel functions &amp; matrix multiplication</t>
  </si>
  <si>
    <t xml:space="preserve">sharpo ratio </t>
  </si>
  <si>
    <t>msft</t>
  </si>
  <si>
    <t>appl</t>
  </si>
  <si>
    <t>tsla</t>
  </si>
  <si>
    <t>f</t>
  </si>
  <si>
    <t>intercept</t>
  </si>
  <si>
    <t>slope appl</t>
  </si>
  <si>
    <t>slope of tsla</t>
  </si>
  <si>
    <t>slopetsla</t>
  </si>
  <si>
    <t>slope msft</t>
  </si>
  <si>
    <t>R2</t>
  </si>
  <si>
    <t>https://support.office.com/en-us/article/LINEST-function-84D7D0D9-6E50-4101-977A-FA7ABF772B6D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</si>
</sst>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00%"/>
    <numFmt numFmtId="166" formatCode="0.000"/>
    <numFmt numFmtId="167" formatCode="0.0000"/>
    <numFmt numFmtId="168" formatCode="0.0000%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33CC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C000"/>
        <bgColor rgb="FFFFC000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20">
    <xf numFmtId="0" fontId="0" fillId="0" borderId="0" xfId="0"/>
    <xf numFmtId="9" fontId="2" fillId="0" borderId="0" xfId="0" applyNumberFormat="1" applyFont="1"/>
    <xf numFmtId="10" fontId="2" fillId="0" borderId="0" xfId="0" applyNumberFormat="1" applyFont="1"/>
    <xf numFmtId="14" fontId="0" fillId="0" borderId="0" xfId="0" applyNumberFormat="1"/>
    <xf numFmtId="165" fontId="2" fillId="0" borderId="0" xfId="1" applyNumberFormat="1" applyFont="1"/>
    <xf numFmtId="2" fontId="0" fillId="0" borderId="0" xfId="0" applyNumberFormat="1"/>
    <xf numFmtId="166" fontId="0" fillId="0" borderId="0" xfId="0" applyNumberFormat="1"/>
    <xf numFmtId="9" fontId="0" fillId="0" borderId="0" xfId="1" applyFont="1"/>
    <xf numFmtId="0" fontId="3" fillId="0" borderId="0" xfId="2" applyFont="1" applyAlignment="1"/>
    <xf numFmtId="0" fontId="3" fillId="2" borderId="0" xfId="2" applyFont="1" applyFill="1" applyBorder="1" applyAlignment="1"/>
    <xf numFmtId="9" fontId="3" fillId="0" borderId="0" xfId="2" applyNumberFormat="1" applyFont="1" applyAlignment="1"/>
    <xf numFmtId="164" fontId="3" fillId="0" borderId="0" xfId="2" applyNumberFormat="1" applyFont="1" applyAlignment="1"/>
    <xf numFmtId="0" fontId="4" fillId="0" borderId="0" xfId="2" applyFont="1" applyAlignment="1"/>
    <xf numFmtId="0" fontId="3" fillId="3" borderId="1" xfId="2" applyFont="1" applyFill="1" applyBorder="1" applyAlignment="1"/>
    <xf numFmtId="0" fontId="3" fillId="2" borderId="1" xfId="2" applyFont="1" applyFill="1" applyBorder="1" applyAlignment="1"/>
    <xf numFmtId="10" fontId="3" fillId="0" borderId="0" xfId="2" applyNumberFormat="1" applyFont="1" applyAlignment="1"/>
    <xf numFmtId="167" fontId="3" fillId="0" borderId="0" xfId="2" applyNumberFormat="1" applyFont="1" applyAlignment="1"/>
    <xf numFmtId="168" fontId="3" fillId="0" borderId="0" xfId="2" applyNumberFormat="1" applyFont="1" applyAlignment="1"/>
    <xf numFmtId="164" fontId="3" fillId="0" borderId="0" xfId="1" applyNumberFormat="1" applyFont="1" applyAlignment="1"/>
    <xf numFmtId="10" fontId="3" fillId="0" borderId="0" xfId="1" applyNumberFormat="1" applyFont="1" applyAlignment="1"/>
  </cellXfs>
  <cellStyles count="3">
    <cellStyle name="Normal" xfId="0" builtinId="0"/>
    <cellStyle name="Normal 2" xfId="2" xr:uid="{09EADE6E-CB26-EE40-AD69-D1936957B837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416560</xdr:colOff>
      <xdr:row>26</xdr:row>
      <xdr:rowOff>50800</xdr:rowOff>
    </xdr:from>
    <xdr:to>
      <xdr:col>12</xdr:col>
      <xdr:colOff>292100</xdr:colOff>
      <xdr:row>31</xdr:row>
      <xdr:rowOff>165100</xdr:rowOff>
    </xdr:to>
    <xdr:pic>
      <xdr:nvPicPr>
        <xdr:cNvPr id="2" name="Picture 1" descr="A key of regression statistics">
          <a:extLst>
            <a:ext uri="{FF2B5EF4-FFF2-40B4-BE49-F238E27FC236}">
              <a16:creationId xmlns:a16="http://schemas.microsoft.com/office/drawing/2014/main" id="{3D7D39F7-AE04-9D41-9793-8227A443C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7280" y="5334000"/>
          <a:ext cx="3990340" cy="1130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459C8-2EF6-AD41-9F67-FCA61BBD5AA3}">
  <sheetPr codeName="Sheet2">
    <outlinePr summaryBelow="0" summaryRight="0"/>
  </sheetPr>
  <dimension ref="B2:K36"/>
  <sheetViews>
    <sheetView zoomScale="101" workbookViewId="0">
      <selection activeCell="F3" sqref="F3"/>
    </sheetView>
  </sheetViews>
  <sheetFormatPr baseColWidth="10" defaultColWidth="17.33203125" defaultRowHeight="15" customHeight="1" x14ac:dyDescent="0.2"/>
  <cols>
    <col min="1" max="1" width="8.6640625" style="8" customWidth="1"/>
    <col min="2" max="2" width="15.83203125" style="8" customWidth="1"/>
    <col min="3" max="3" width="11.1640625" style="8" customWidth="1"/>
    <col min="4" max="4" width="8.6640625" style="8" customWidth="1"/>
    <col min="5" max="5" width="18" style="8" customWidth="1"/>
    <col min="6" max="10" width="8.6640625" style="8" customWidth="1"/>
    <col min="11" max="11" width="16.33203125" style="8" customWidth="1"/>
    <col min="12" max="26" width="8.6640625" style="8" customWidth="1"/>
    <col min="27" max="16384" width="17.33203125" style="8"/>
  </cols>
  <sheetData>
    <row r="2" spans="2:9" x14ac:dyDescent="0.2">
      <c r="B2" s="9" t="s">
        <v>19</v>
      </c>
      <c r="C2" s="9" t="s">
        <v>0</v>
      </c>
      <c r="D2" s="9" t="s">
        <v>1</v>
      </c>
      <c r="E2" s="9" t="s">
        <v>2</v>
      </c>
      <c r="F2" s="9" t="s">
        <v>3</v>
      </c>
    </row>
    <row r="3" spans="2:9" x14ac:dyDescent="0.2">
      <c r="B3" s="8" t="s">
        <v>28</v>
      </c>
      <c r="C3" s="8">
        <v>40000</v>
      </c>
      <c r="D3" s="19">
        <f>Sheet1!P8</f>
        <v>8.7720403599075088E-4</v>
      </c>
      <c r="E3" s="16">
        <f>Sheet1!O3</f>
        <v>9.5950710071998138E-3</v>
      </c>
      <c r="F3" s="11">
        <v>1</v>
      </c>
    </row>
    <row r="4" spans="2:9" x14ac:dyDescent="0.2">
      <c r="B4" s="8" t="s">
        <v>29</v>
      </c>
      <c r="C4" s="8">
        <v>20000</v>
      </c>
      <c r="D4" s="19">
        <f>Sheet1!P9</f>
        <v>3.933509572739598E-4</v>
      </c>
      <c r="E4" s="16">
        <f>Sheet1!P3</f>
        <v>1.4959469161244606E-2</v>
      </c>
      <c r="F4" s="11">
        <v>0</v>
      </c>
    </row>
    <row r="5" spans="2:9" x14ac:dyDescent="0.2">
      <c r="B5" s="8" t="s">
        <v>30</v>
      </c>
      <c r="C5" s="8">
        <v>10000</v>
      </c>
      <c r="D5" s="19">
        <f>Sheet1!P10</f>
        <v>-4.8779923222034839E-4</v>
      </c>
      <c r="E5" s="16">
        <f>Sheet1!Q3</f>
        <v>4.7923641378592417E-2</v>
      </c>
      <c r="F5" s="11">
        <v>0</v>
      </c>
    </row>
    <row r="7" spans="2:9" x14ac:dyDescent="0.2">
      <c r="B7" s="8" t="s">
        <v>20</v>
      </c>
      <c r="C7" s="8">
        <f>SUM(C3:C5)</f>
        <v>70000</v>
      </c>
      <c r="F7" s="11">
        <f>SUM(F3:F5)</f>
        <v>1</v>
      </c>
    </row>
    <row r="8" spans="2:9" x14ac:dyDescent="0.2">
      <c r="G8" s="8" t="s">
        <v>21</v>
      </c>
    </row>
    <row r="9" spans="2:9" ht="15.75" customHeight="1" x14ac:dyDescent="0.2">
      <c r="B9" s="12" t="s">
        <v>22</v>
      </c>
      <c r="F9" s="13"/>
      <c r="G9" s="13" t="s">
        <v>4</v>
      </c>
      <c r="H9" s="13" t="s">
        <v>5</v>
      </c>
      <c r="I9" s="13" t="s">
        <v>6</v>
      </c>
    </row>
    <row r="10" spans="2:9" x14ac:dyDescent="0.2">
      <c r="F10" s="13" t="s">
        <v>4</v>
      </c>
      <c r="G10" s="14">
        <v>1</v>
      </c>
      <c r="H10" s="14">
        <f>Sheet1!P14</f>
        <v>0.35663865864504701</v>
      </c>
      <c r="I10" s="14">
        <f>Sheet1!Q14</f>
        <v>0.32600949252462685</v>
      </c>
    </row>
    <row r="11" spans="2:9" x14ac:dyDescent="0.2">
      <c r="F11" s="13" t="s">
        <v>5</v>
      </c>
      <c r="G11" s="14">
        <f>Sheet1!O15</f>
        <v>0.35663865864504701</v>
      </c>
      <c r="H11" s="14">
        <f>Sheet1!P15</f>
        <v>1</v>
      </c>
      <c r="I11" s="14">
        <f>Sheet1!Q15</f>
        <v>8.3980208563235043E-2</v>
      </c>
    </row>
    <row r="12" spans="2:9" x14ac:dyDescent="0.2">
      <c r="B12" s="8" t="s">
        <v>23</v>
      </c>
      <c r="C12" s="15">
        <f>D3*F3+D4*F4+D5*F5</f>
        <v>8.7720403599075088E-4</v>
      </c>
      <c r="F12" s="13" t="s">
        <v>6</v>
      </c>
      <c r="G12" s="14">
        <f>Sheet1!O16</f>
        <v>0.32600949252462685</v>
      </c>
      <c r="H12" s="14">
        <f>Sheet1!P16</f>
        <v>8.3980208563235043E-2</v>
      </c>
      <c r="I12" s="14">
        <f>Sheet1!Q16</f>
        <v>1</v>
      </c>
    </row>
    <row r="13" spans="2:9" x14ac:dyDescent="0.2">
      <c r="B13" s="8" t="s">
        <v>24</v>
      </c>
      <c r="C13" s="19">
        <f>F3^2*E3^2+F4^2*E4^2+F5^2*E5^2+2*E3*E4*F3*F4*H10+2*F4*F5*E4*E5*I11+2*F3*F5*E3*E5*I10</f>
        <v>9.2065387633206451E-5</v>
      </c>
    </row>
    <row r="14" spans="2:9" x14ac:dyDescent="0.2">
      <c r="B14" s="8" t="s">
        <v>25</v>
      </c>
      <c r="C14" s="10">
        <f>SQRT(C13)</f>
        <v>9.5950710071998138E-3</v>
      </c>
    </row>
    <row r="16" spans="2:9" x14ac:dyDescent="0.2">
      <c r="F16" s="8" t="s">
        <v>27</v>
      </c>
      <c r="H16" s="18">
        <f>C12/C14</f>
        <v>9.1422360015108478E-2</v>
      </c>
    </row>
    <row r="18" spans="2:11" ht="15.75" customHeight="1" x14ac:dyDescent="0.2">
      <c r="B18" s="12" t="s">
        <v>26</v>
      </c>
      <c r="F18" s="8" t="s">
        <v>31</v>
      </c>
    </row>
    <row r="20" spans="2:11" x14ac:dyDescent="0.2">
      <c r="B20" s="8" t="s">
        <v>23</v>
      </c>
      <c r="C20" s="15">
        <f>SUMPRODUCT(D3:D5,F3:F5)</f>
        <v>8.7720403599075088E-4</v>
      </c>
    </row>
    <row r="21" spans="2:11" x14ac:dyDescent="0.2">
      <c r="B21" s="8" t="s">
        <v>24</v>
      </c>
      <c r="C21" s="8">
        <f t="array" ref="C21">MMULT(E35:G35,K28:K30)</f>
        <v>9.2065387633206451E-5</v>
      </c>
    </row>
    <row r="22" spans="2:11" x14ac:dyDescent="0.2">
      <c r="B22" s="8" t="s">
        <v>25</v>
      </c>
      <c r="C22" s="10">
        <f>SQRT(C21)</f>
        <v>9.5950710071998138E-3</v>
      </c>
    </row>
    <row r="27" spans="2:11" x14ac:dyDescent="0.2">
      <c r="G27" s="8" t="s">
        <v>21</v>
      </c>
    </row>
    <row r="28" spans="2:11" x14ac:dyDescent="0.2">
      <c r="B28" s="16"/>
      <c r="C28" s="17"/>
      <c r="F28" s="13"/>
      <c r="G28" s="13" t="s">
        <v>4</v>
      </c>
      <c r="H28" s="13" t="s">
        <v>5</v>
      </c>
      <c r="I28" s="13" t="s">
        <v>6</v>
      </c>
      <c r="K28" s="8">
        <f>F3*E3</f>
        <v>9.5950710071998138E-3</v>
      </c>
    </row>
    <row r="29" spans="2:11" x14ac:dyDescent="0.2">
      <c r="B29" s="8">
        <f t="array" ref="B29:D29">TRANSPOSE(K28:K30)</f>
        <v>9.5950710071998138E-3</v>
      </c>
      <c r="C29" s="8">
        <v>0</v>
      </c>
      <c r="D29" s="8">
        <v>0</v>
      </c>
      <c r="F29" s="13" t="s">
        <v>4</v>
      </c>
      <c r="G29" s="14">
        <v>1</v>
      </c>
      <c r="H29" s="14">
        <v>0.2</v>
      </c>
      <c r="I29" s="14">
        <v>0.6</v>
      </c>
      <c r="K29" s="8">
        <f t="shared" ref="K29:K30" si="0">E4*F4</f>
        <v>0</v>
      </c>
    </row>
    <row r="30" spans="2:11" x14ac:dyDescent="0.2">
      <c r="F30" s="13" t="s">
        <v>5</v>
      </c>
      <c r="G30" s="14">
        <v>0.2</v>
      </c>
      <c r="H30" s="14">
        <v>1</v>
      </c>
      <c r="I30" s="14">
        <v>-0.1</v>
      </c>
      <c r="K30" s="8">
        <f t="shared" si="0"/>
        <v>0</v>
      </c>
    </row>
    <row r="31" spans="2:11" x14ac:dyDescent="0.2">
      <c r="F31" s="13" t="s">
        <v>6</v>
      </c>
      <c r="G31" s="14">
        <v>0.6</v>
      </c>
      <c r="H31" s="14">
        <v>-0.1</v>
      </c>
      <c r="I31" s="14">
        <v>1</v>
      </c>
    </row>
    <row r="35" spans="5:9" x14ac:dyDescent="0.2">
      <c r="E35" s="8">
        <f t="array" ref="E35:G35">MMULT(B29:D29,G29:I31)</f>
        <v>9.5950710071998138E-3</v>
      </c>
      <c r="F35" s="8">
        <v>1.9190142014399629E-3</v>
      </c>
      <c r="G35" s="8">
        <v>5.7570426043198879E-3</v>
      </c>
    </row>
    <row r="36" spans="5:9" x14ac:dyDescent="0.2">
      <c r="I36" s="8">
        <f t="array" ref="I36">MMULT(E35:G35,K28:K30)</f>
        <v>9.2065387633206451E-5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6827E-C7AD-7D48-BBA6-6CBB1F2203B7}">
  <sheetPr codeName="Sheet1"/>
  <dimension ref="A1:Q48"/>
  <sheetViews>
    <sheetView tabSelected="1" zoomScale="125" workbookViewId="0">
      <selection activeCell="G48" sqref="G48"/>
    </sheetView>
  </sheetViews>
  <sheetFormatPr baseColWidth="10" defaultRowHeight="16" x14ac:dyDescent="0.2"/>
  <sheetData>
    <row r="1" spans="1:17" x14ac:dyDescent="0.2">
      <c r="B1" t="s">
        <v>9</v>
      </c>
      <c r="C1" t="s">
        <v>10</v>
      </c>
      <c r="D1" t="s">
        <v>11</v>
      </c>
      <c r="E1" t="str">
        <f>B1</f>
        <v>MSFT</v>
      </c>
      <c r="F1" t="str">
        <f t="shared" ref="F1:G1" si="0">C1</f>
        <v>APPL</v>
      </c>
      <c r="G1" t="str">
        <f t="shared" si="0"/>
        <v>TSLA</v>
      </c>
      <c r="H1" t="str">
        <f>E1</f>
        <v>MSFT</v>
      </c>
      <c r="I1" t="str">
        <f>F1</f>
        <v>APPL</v>
      </c>
      <c r="J1" t="str">
        <f>"LAG "&amp;E1</f>
        <v>LAG MSFT</v>
      </c>
      <c r="K1" t="str">
        <f t="shared" ref="K1:L1" si="1">"LAG "&amp;F1</f>
        <v>LAG APPL</v>
      </c>
      <c r="L1" t="str">
        <f t="shared" si="1"/>
        <v>LAG TSLA</v>
      </c>
      <c r="O1" t="str">
        <f>E1</f>
        <v>MSFT</v>
      </c>
      <c r="P1" t="str">
        <f>F1</f>
        <v>APPL</v>
      </c>
      <c r="Q1" t="str">
        <f>G1</f>
        <v>TSLA</v>
      </c>
    </row>
    <row r="2" spans="1:17" x14ac:dyDescent="0.2">
      <c r="A2" t="s">
        <v>7</v>
      </c>
      <c r="B2" t="s">
        <v>8</v>
      </c>
      <c r="C2" t="s">
        <v>8</v>
      </c>
      <c r="D2" t="s">
        <v>8</v>
      </c>
      <c r="N2" t="s">
        <v>14</v>
      </c>
      <c r="O2">
        <f>AVERAGE(E4:E25)</f>
        <v>8.7720403599075088E-4</v>
      </c>
      <c r="P2">
        <f>AVERAGE(F4:F25)</f>
        <v>-4.7625076317031308E-3</v>
      </c>
      <c r="Q2">
        <f>AVERAGE(G4:G25)</f>
        <v>-8.8411381040031203E-4</v>
      </c>
    </row>
    <row r="3" spans="1:17" x14ac:dyDescent="0.2">
      <c r="A3" s="3">
        <v>43306</v>
      </c>
      <c r="B3">
        <v>110.405128</v>
      </c>
      <c r="C3">
        <v>194.13914500000001</v>
      </c>
      <c r="D3">
        <v>308.73998999999998</v>
      </c>
      <c r="N3" t="s">
        <v>15</v>
      </c>
      <c r="O3">
        <f>STDEV(E4:E25)</f>
        <v>9.5950710071998138E-3</v>
      </c>
      <c r="P3">
        <f>STDEV(F4:F25)</f>
        <v>1.4959469161244606E-2</v>
      </c>
      <c r="Q3">
        <f>STDEV(G4:G25)</f>
        <v>4.7923641378592417E-2</v>
      </c>
    </row>
    <row r="4" spans="1:17" x14ac:dyDescent="0.2">
      <c r="A4" s="3">
        <v>43307</v>
      </c>
      <c r="B4">
        <v>109.19976800000001</v>
      </c>
      <c r="C4">
        <v>193.53126499999999</v>
      </c>
      <c r="D4">
        <v>306.64999399999999</v>
      </c>
      <c r="E4">
        <f t="shared" ref="E4:F4" si="2">B3/B4-1</f>
        <v>1.1038118689043364E-2</v>
      </c>
      <c r="F4">
        <f t="shared" si="2"/>
        <v>3.1409911985023076E-3</v>
      </c>
      <c r="G4">
        <f>D3/D4-1</f>
        <v>6.8155748928531157E-3</v>
      </c>
      <c r="H4">
        <f>E4</f>
        <v>1.1038118689043364E-2</v>
      </c>
      <c r="I4">
        <f>F4</f>
        <v>3.1409911985023076E-3</v>
      </c>
      <c r="N4" t="s">
        <v>16</v>
      </c>
      <c r="O4">
        <f>CORREL(E4:E25,F4:F25)</f>
        <v>0.35663865864504701</v>
      </c>
      <c r="P4">
        <f>CORREL(F4:F25,G4:G25)</f>
        <v>8.3980208563235043E-2</v>
      </c>
      <c r="Q4">
        <f>CORREL(E4:E25,G4:G25)</f>
        <v>0.32600949252462685</v>
      </c>
    </row>
    <row r="5" spans="1:17" x14ac:dyDescent="0.2">
      <c r="A5" s="3">
        <v>43308</v>
      </c>
      <c r="B5">
        <v>107.26720400000001</v>
      </c>
      <c r="C5">
        <v>190.312546</v>
      </c>
      <c r="D5">
        <v>297.17999300000002</v>
      </c>
      <c r="E5">
        <f t="shared" ref="E5:E25" si="3">B4/B5-1</f>
        <v>1.8016354747160124E-2</v>
      </c>
      <c r="F5">
        <f t="shared" ref="F5:F25" si="4">C4/C5-1</f>
        <v>1.6912805107446749E-2</v>
      </c>
      <c r="G5">
        <f t="shared" ref="G5:G25" si="5">D4/D5-1</f>
        <v>3.1866213147127898E-2</v>
      </c>
      <c r="H5">
        <f t="shared" ref="H5:H25" si="6">E5</f>
        <v>1.8016354747160124E-2</v>
      </c>
      <c r="I5">
        <f t="shared" ref="I5:I25" si="7">F5</f>
        <v>1.6912805107446749E-2</v>
      </c>
      <c r="J5">
        <f>E4</f>
        <v>1.1038118689043364E-2</v>
      </c>
      <c r="K5">
        <f t="shared" ref="K5:L5" si="8">F4</f>
        <v>3.1409911985023076E-3</v>
      </c>
      <c r="L5">
        <f t="shared" si="8"/>
        <v>6.8155748928531157E-3</v>
      </c>
    </row>
    <row r="6" spans="1:17" x14ac:dyDescent="0.2">
      <c r="A6" s="3">
        <v>43311</v>
      </c>
      <c r="B6">
        <v>104.966064</v>
      </c>
      <c r="C6">
        <v>189.24629200000001</v>
      </c>
      <c r="D6">
        <v>290.17001299999998</v>
      </c>
      <c r="E6">
        <f t="shared" si="3"/>
        <v>2.1922704465702436E-2</v>
      </c>
      <c r="F6">
        <f t="shared" si="4"/>
        <v>5.6342134301896607E-3</v>
      </c>
      <c r="G6">
        <f t="shared" si="5"/>
        <v>2.41581820517065E-2</v>
      </c>
      <c r="H6">
        <f t="shared" si="6"/>
        <v>2.1922704465702436E-2</v>
      </c>
      <c r="I6">
        <f t="shared" si="7"/>
        <v>5.6342134301896607E-3</v>
      </c>
      <c r="J6">
        <f t="shared" ref="J6:J25" si="9">E5</f>
        <v>1.8016354747160124E-2</v>
      </c>
      <c r="K6">
        <f t="shared" ref="K6:K25" si="10">F5</f>
        <v>1.6912805107446749E-2</v>
      </c>
      <c r="L6">
        <f t="shared" ref="L6:L25" si="11">G5</f>
        <v>3.1866213147127898E-2</v>
      </c>
    </row>
    <row r="7" spans="1:17" x14ac:dyDescent="0.2">
      <c r="A7" s="3">
        <v>43312</v>
      </c>
      <c r="B7">
        <v>105.67334</v>
      </c>
      <c r="C7">
        <v>189.624954</v>
      </c>
      <c r="D7">
        <v>298.14001500000001</v>
      </c>
      <c r="E7">
        <f t="shared" si="3"/>
        <v>-6.6930410262417972E-3</v>
      </c>
      <c r="F7">
        <f t="shared" si="4"/>
        <v>-1.9968996274614126E-3</v>
      </c>
      <c r="G7">
        <f t="shared" si="5"/>
        <v>-2.6732412957046425E-2</v>
      </c>
      <c r="H7">
        <f t="shared" si="6"/>
        <v>-6.6930410262417972E-3</v>
      </c>
      <c r="I7">
        <f t="shared" si="7"/>
        <v>-1.9968996274614126E-3</v>
      </c>
      <c r="J7">
        <f t="shared" si="9"/>
        <v>2.1922704465702436E-2</v>
      </c>
      <c r="K7">
        <f t="shared" si="10"/>
        <v>5.6342134301896607E-3</v>
      </c>
      <c r="L7">
        <f t="shared" si="11"/>
        <v>2.41581820517065E-2</v>
      </c>
      <c r="N7" s="1" t="s">
        <v>12</v>
      </c>
      <c r="O7" s="1" t="s">
        <v>13</v>
      </c>
      <c r="P7" s="2" t="s">
        <v>1</v>
      </c>
    </row>
    <row r="8" spans="1:17" x14ac:dyDescent="0.2">
      <c r="A8" s="3">
        <v>43313</v>
      </c>
      <c r="B8">
        <v>105.872574</v>
      </c>
      <c r="C8">
        <v>200.79579200000001</v>
      </c>
      <c r="D8">
        <v>300.83999599999999</v>
      </c>
      <c r="E8">
        <f t="shared" si="3"/>
        <v>-1.8818282438283207E-3</v>
      </c>
      <c r="F8">
        <f t="shared" si="4"/>
        <v>-5.5632829197934552E-2</v>
      </c>
      <c r="G8">
        <f t="shared" si="5"/>
        <v>-8.9748073258184569E-3</v>
      </c>
      <c r="H8">
        <f t="shared" si="6"/>
        <v>-1.8818282438283207E-3</v>
      </c>
      <c r="I8">
        <f t="shared" si="7"/>
        <v>-5.5632829197934552E-2</v>
      </c>
      <c r="J8">
        <f t="shared" si="9"/>
        <v>-6.6930410262417972E-3</v>
      </c>
      <c r="K8">
        <f t="shared" si="10"/>
        <v>-1.9968996274614126E-3</v>
      </c>
      <c r="L8">
        <f t="shared" si="11"/>
        <v>-2.6732412957046425E-2</v>
      </c>
      <c r="N8" s="1" t="s">
        <v>9</v>
      </c>
      <c r="O8" s="1"/>
      <c r="P8" s="4">
        <f>AVERAGE(E4:E25)</f>
        <v>8.7720403599075088E-4</v>
      </c>
    </row>
    <row r="9" spans="1:17" x14ac:dyDescent="0.2">
      <c r="A9" s="3">
        <v>43314</v>
      </c>
      <c r="B9">
        <v>107.157623</v>
      </c>
      <c r="C9">
        <v>206.66520700000001</v>
      </c>
      <c r="D9">
        <v>349.540009</v>
      </c>
      <c r="E9">
        <f t="shared" si="3"/>
        <v>-1.1992137974169093E-2</v>
      </c>
      <c r="F9">
        <f t="shared" si="4"/>
        <v>-2.8400595751949642E-2</v>
      </c>
      <c r="G9">
        <f t="shared" si="5"/>
        <v>-0.13932600488088909</v>
      </c>
      <c r="H9">
        <f t="shared" si="6"/>
        <v>-1.1992137974169093E-2</v>
      </c>
      <c r="I9">
        <f t="shared" si="7"/>
        <v>-2.8400595751949642E-2</v>
      </c>
      <c r="J9">
        <f t="shared" si="9"/>
        <v>-1.8818282438283207E-3</v>
      </c>
      <c r="K9">
        <f t="shared" si="10"/>
        <v>-5.5632829197934552E-2</v>
      </c>
      <c r="L9">
        <f t="shared" si="11"/>
        <v>-8.9748073258184569E-3</v>
      </c>
      <c r="N9" t="s">
        <v>10</v>
      </c>
      <c r="P9" s="4">
        <f t="shared" ref="P9:P10" si="12">AVERAGE(E5:E26)</f>
        <v>3.933509572739598E-4</v>
      </c>
    </row>
    <row r="10" spans="1:17" x14ac:dyDescent="0.2">
      <c r="A10" s="3">
        <v>43315</v>
      </c>
      <c r="B10">
        <v>107.62582399999999</v>
      </c>
      <c r="C10">
        <v>207.26310699999999</v>
      </c>
      <c r="D10">
        <v>348.17001299999998</v>
      </c>
      <c r="E10">
        <f t="shared" si="3"/>
        <v>-4.3502663449990209E-3</v>
      </c>
      <c r="F10">
        <f t="shared" si="4"/>
        <v>-2.8847391542768941E-3</v>
      </c>
      <c r="G10">
        <f t="shared" si="5"/>
        <v>3.9348477722003228E-3</v>
      </c>
      <c r="H10">
        <f t="shared" si="6"/>
        <v>-4.3502663449990209E-3</v>
      </c>
      <c r="I10">
        <f t="shared" si="7"/>
        <v>-2.8847391542768941E-3</v>
      </c>
      <c r="J10">
        <f t="shared" si="9"/>
        <v>-1.1992137974169093E-2</v>
      </c>
      <c r="K10">
        <f t="shared" si="10"/>
        <v>-2.8400595751949642E-2</v>
      </c>
      <c r="L10">
        <f t="shared" si="11"/>
        <v>-0.13932600488088909</v>
      </c>
      <c r="N10" s="1" t="s">
        <v>11</v>
      </c>
      <c r="P10" s="4">
        <f t="shared" si="12"/>
        <v>-4.8779923222034839E-4</v>
      </c>
    </row>
    <row r="11" spans="1:17" x14ac:dyDescent="0.2">
      <c r="A11" s="3">
        <v>43318</v>
      </c>
      <c r="B11">
        <v>107.71547700000001</v>
      </c>
      <c r="C11">
        <v>208.33933999999999</v>
      </c>
      <c r="D11">
        <v>341.98998999999998</v>
      </c>
      <c r="E11">
        <f t="shared" si="3"/>
        <v>-8.3231307604958449E-4</v>
      </c>
      <c r="F11">
        <f t="shared" si="4"/>
        <v>-5.1657694605349302E-3</v>
      </c>
      <c r="G11">
        <f t="shared" si="5"/>
        <v>1.8070771603578173E-2</v>
      </c>
      <c r="H11">
        <f t="shared" si="6"/>
        <v>-8.3231307604958449E-4</v>
      </c>
      <c r="I11">
        <f t="shared" si="7"/>
        <v>-5.1657694605349302E-3</v>
      </c>
      <c r="J11">
        <f t="shared" si="9"/>
        <v>-4.3502663449990209E-3</v>
      </c>
      <c r="K11">
        <f t="shared" si="10"/>
        <v>-2.8847391542768941E-3</v>
      </c>
      <c r="L11">
        <f t="shared" si="11"/>
        <v>3.9348477722003228E-3</v>
      </c>
    </row>
    <row r="12" spans="1:17" x14ac:dyDescent="0.2">
      <c r="A12" s="3">
        <v>43319</v>
      </c>
      <c r="B12">
        <v>108.46260100000001</v>
      </c>
      <c r="C12">
        <v>206.38618500000001</v>
      </c>
      <c r="D12">
        <v>379.57000699999998</v>
      </c>
      <c r="E12">
        <f t="shared" si="3"/>
        <v>-6.8883098239549412E-3</v>
      </c>
      <c r="F12">
        <f t="shared" si="4"/>
        <v>9.4635936993552328E-3</v>
      </c>
      <c r="G12">
        <f t="shared" si="5"/>
        <v>-9.9006813781258529E-2</v>
      </c>
      <c r="H12">
        <f t="shared" si="6"/>
        <v>-6.8883098239549412E-3</v>
      </c>
      <c r="I12">
        <f t="shared" si="7"/>
        <v>9.4635936993552328E-3</v>
      </c>
      <c r="J12">
        <f t="shared" si="9"/>
        <v>-8.3231307604958449E-4</v>
      </c>
      <c r="K12">
        <f t="shared" si="10"/>
        <v>-5.1657694605349302E-3</v>
      </c>
      <c r="L12">
        <f t="shared" si="11"/>
        <v>1.8070771603578173E-2</v>
      </c>
      <c r="O12" t="s">
        <v>17</v>
      </c>
    </row>
    <row r="13" spans="1:17" x14ac:dyDescent="0.2">
      <c r="A13" s="3">
        <v>43320</v>
      </c>
      <c r="B13">
        <v>109.070267</v>
      </c>
      <c r="C13">
        <v>206.52569600000001</v>
      </c>
      <c r="D13">
        <v>370.33999599999999</v>
      </c>
      <c r="E13">
        <f t="shared" si="3"/>
        <v>-5.5713258683046663E-3</v>
      </c>
      <c r="F13">
        <f t="shared" si="4"/>
        <v>-6.7551400480447832E-4</v>
      </c>
      <c r="G13">
        <f t="shared" si="5"/>
        <v>2.4923073661209383E-2</v>
      </c>
      <c r="H13">
        <f t="shared" si="6"/>
        <v>-5.5713258683046663E-3</v>
      </c>
      <c r="I13">
        <f t="shared" si="7"/>
        <v>-6.7551400480447832E-4</v>
      </c>
      <c r="J13">
        <f t="shared" si="9"/>
        <v>-6.8883098239549412E-3</v>
      </c>
      <c r="K13">
        <f t="shared" si="10"/>
        <v>9.4635936993552328E-3</v>
      </c>
      <c r="L13">
        <f t="shared" si="11"/>
        <v>-9.9006813781258529E-2</v>
      </c>
      <c r="O13" t="str">
        <f>O1</f>
        <v>MSFT</v>
      </c>
      <c r="P13" t="str">
        <f>P1</f>
        <v>APPL</v>
      </c>
      <c r="Q13" t="str">
        <f>Q1</f>
        <v>TSLA</v>
      </c>
    </row>
    <row r="14" spans="1:17" x14ac:dyDescent="0.2">
      <c r="A14" s="3">
        <v>43321</v>
      </c>
      <c r="B14">
        <v>109.249573</v>
      </c>
      <c r="C14">
        <v>208.14999399999999</v>
      </c>
      <c r="D14">
        <v>352.45001200000002</v>
      </c>
      <c r="E14">
        <f t="shared" si="3"/>
        <v>-1.641251266034649E-3</v>
      </c>
      <c r="F14">
        <f t="shared" si="4"/>
        <v>-7.8034977027190422E-3</v>
      </c>
      <c r="G14">
        <f t="shared" si="5"/>
        <v>5.0758925779239128E-2</v>
      </c>
      <c r="H14">
        <f t="shared" si="6"/>
        <v>-1.641251266034649E-3</v>
      </c>
      <c r="I14">
        <f t="shared" si="7"/>
        <v>-7.8034977027190422E-3</v>
      </c>
      <c r="J14">
        <f t="shared" si="9"/>
        <v>-5.5713258683046663E-3</v>
      </c>
      <c r="K14">
        <f t="shared" si="10"/>
        <v>-6.7551400480447832E-4</v>
      </c>
      <c r="L14">
        <f t="shared" si="11"/>
        <v>2.4923073661209383E-2</v>
      </c>
      <c r="N14" t="s">
        <v>9</v>
      </c>
      <c r="O14" s="6">
        <v>1</v>
      </c>
      <c r="P14" s="6">
        <f>O15</f>
        <v>0.35663865864504701</v>
      </c>
      <c r="Q14" s="6">
        <f>Q4</f>
        <v>0.32600949252462685</v>
      </c>
    </row>
    <row r="15" spans="1:17" x14ac:dyDescent="0.2">
      <c r="A15" s="3">
        <v>43322</v>
      </c>
      <c r="B15">
        <v>108.58214599999999</v>
      </c>
      <c r="C15">
        <v>207.529999</v>
      </c>
      <c r="D15">
        <v>355.48998999999998</v>
      </c>
      <c r="E15">
        <f t="shared" si="3"/>
        <v>6.1467471825433773E-3</v>
      </c>
      <c r="F15">
        <f t="shared" si="4"/>
        <v>2.9874957981375072E-3</v>
      </c>
      <c r="G15">
        <f t="shared" si="5"/>
        <v>-8.5515150510988569E-3</v>
      </c>
      <c r="H15">
        <f t="shared" si="6"/>
        <v>6.1467471825433773E-3</v>
      </c>
      <c r="I15">
        <f t="shared" si="7"/>
        <v>2.9874957981375072E-3</v>
      </c>
      <c r="J15">
        <f t="shared" si="9"/>
        <v>-1.641251266034649E-3</v>
      </c>
      <c r="K15">
        <f t="shared" si="10"/>
        <v>-7.8034977027190422E-3</v>
      </c>
      <c r="L15">
        <f t="shared" si="11"/>
        <v>5.0758925779239128E-2</v>
      </c>
      <c r="N15" t="str">
        <f>P13</f>
        <v>APPL</v>
      </c>
      <c r="O15" s="6">
        <f>O4</f>
        <v>0.35663865864504701</v>
      </c>
      <c r="P15" s="6">
        <v>1</v>
      </c>
      <c r="Q15" s="6">
        <f>P4</f>
        <v>8.3980208563235043E-2</v>
      </c>
    </row>
    <row r="16" spans="1:17" x14ac:dyDescent="0.2">
      <c r="A16" s="3">
        <v>43325</v>
      </c>
      <c r="B16">
        <v>107.795174</v>
      </c>
      <c r="C16">
        <v>208.86999499999999</v>
      </c>
      <c r="D16">
        <v>356.41000400000001</v>
      </c>
      <c r="E16">
        <f t="shared" si="3"/>
        <v>7.3006236809820546E-3</v>
      </c>
      <c r="F16">
        <f t="shared" si="4"/>
        <v>-6.4154547425540054E-3</v>
      </c>
      <c r="G16">
        <f t="shared" si="5"/>
        <v>-2.5813360727103829E-3</v>
      </c>
      <c r="H16">
        <f t="shared" si="6"/>
        <v>7.3006236809820546E-3</v>
      </c>
      <c r="I16">
        <f t="shared" si="7"/>
        <v>-6.4154547425540054E-3</v>
      </c>
      <c r="J16">
        <f t="shared" si="9"/>
        <v>6.1467471825433773E-3</v>
      </c>
      <c r="K16">
        <f t="shared" si="10"/>
        <v>2.9874957981375072E-3</v>
      </c>
      <c r="L16">
        <f t="shared" si="11"/>
        <v>-8.5515150510988569E-3</v>
      </c>
      <c r="N16" t="str">
        <f>Q13</f>
        <v>TSLA</v>
      </c>
      <c r="O16" s="6">
        <f>Q14</f>
        <v>0.32600949252462685</v>
      </c>
      <c r="P16" s="6">
        <f>Q15</f>
        <v>8.3980208563235043E-2</v>
      </c>
      <c r="Q16" s="6">
        <v>1</v>
      </c>
    </row>
    <row r="17" spans="1:17" x14ac:dyDescent="0.2">
      <c r="A17" s="3">
        <v>43326</v>
      </c>
      <c r="B17">
        <v>109.139999</v>
      </c>
      <c r="C17">
        <v>209.75</v>
      </c>
      <c r="D17">
        <v>347.64001500000001</v>
      </c>
      <c r="E17">
        <f t="shared" si="3"/>
        <v>-1.2322017704984534E-2</v>
      </c>
      <c r="F17">
        <f t="shared" si="4"/>
        <v>-4.1954946364720636E-3</v>
      </c>
      <c r="G17">
        <f t="shared" si="5"/>
        <v>2.5227213846484409E-2</v>
      </c>
      <c r="H17">
        <f t="shared" si="6"/>
        <v>-1.2322017704984534E-2</v>
      </c>
      <c r="I17">
        <f t="shared" si="7"/>
        <v>-4.1954946364720636E-3</v>
      </c>
      <c r="J17">
        <f t="shared" si="9"/>
        <v>7.3006236809820546E-3</v>
      </c>
      <c r="K17">
        <f t="shared" si="10"/>
        <v>-6.4154547425540054E-3</v>
      </c>
      <c r="L17">
        <f t="shared" si="11"/>
        <v>-2.5813360727103829E-3</v>
      </c>
    </row>
    <row r="18" spans="1:17" x14ac:dyDescent="0.2">
      <c r="A18" s="3">
        <v>43327</v>
      </c>
      <c r="B18">
        <v>107.660004</v>
      </c>
      <c r="C18">
        <v>210.240005</v>
      </c>
      <c r="D18">
        <v>338.69000199999999</v>
      </c>
      <c r="E18">
        <f t="shared" si="3"/>
        <v>1.3746934283970447E-2</v>
      </c>
      <c r="F18">
        <f t="shared" si="4"/>
        <v>-2.3306934377212984E-3</v>
      </c>
      <c r="G18">
        <f t="shared" si="5"/>
        <v>2.6425382937639963E-2</v>
      </c>
      <c r="H18">
        <f t="shared" si="6"/>
        <v>1.3746934283970447E-2</v>
      </c>
      <c r="I18">
        <f t="shared" si="7"/>
        <v>-2.3306934377212984E-3</v>
      </c>
      <c r="J18">
        <f t="shared" si="9"/>
        <v>-1.2322017704984534E-2</v>
      </c>
      <c r="K18">
        <f t="shared" si="10"/>
        <v>-4.1954946364720636E-3</v>
      </c>
      <c r="L18">
        <f t="shared" si="11"/>
        <v>2.5227213846484409E-2</v>
      </c>
    </row>
    <row r="19" spans="1:17" x14ac:dyDescent="0.2">
      <c r="A19" s="3">
        <v>43328</v>
      </c>
      <c r="B19">
        <v>107.639999</v>
      </c>
      <c r="C19">
        <v>213.320007</v>
      </c>
      <c r="D19">
        <v>335.45001200000002</v>
      </c>
      <c r="E19">
        <f t="shared" si="3"/>
        <v>1.8585098649070986E-4</v>
      </c>
      <c r="F19">
        <f t="shared" si="4"/>
        <v>-1.4438411301946008E-2</v>
      </c>
      <c r="G19">
        <f t="shared" si="5"/>
        <v>9.658637305399731E-3</v>
      </c>
      <c r="H19">
        <f t="shared" si="6"/>
        <v>1.8585098649070986E-4</v>
      </c>
      <c r="I19">
        <f t="shared" si="7"/>
        <v>-1.4438411301946008E-2</v>
      </c>
      <c r="J19">
        <f t="shared" si="9"/>
        <v>1.3746934283970447E-2</v>
      </c>
      <c r="K19">
        <f t="shared" si="10"/>
        <v>-2.3306934377212984E-3</v>
      </c>
      <c r="L19">
        <f t="shared" si="11"/>
        <v>2.6425382937639963E-2</v>
      </c>
      <c r="N19" t="s">
        <v>18</v>
      </c>
      <c r="O19" s="7"/>
      <c r="P19" s="5"/>
      <c r="Q19" s="5"/>
    </row>
    <row r="20" spans="1:17" x14ac:dyDescent="0.2">
      <c r="A20" s="3">
        <v>43329</v>
      </c>
      <c r="B20">
        <v>107.58000199999999</v>
      </c>
      <c r="C20">
        <v>217.58000200000001</v>
      </c>
      <c r="D20">
        <v>305.5</v>
      </c>
      <c r="E20">
        <f t="shared" si="3"/>
        <v>5.5769658751270157E-4</v>
      </c>
      <c r="F20">
        <f t="shared" si="4"/>
        <v>-1.9578982263268818E-2</v>
      </c>
      <c r="G20">
        <f t="shared" si="5"/>
        <v>9.8036045826513929E-2</v>
      </c>
      <c r="H20">
        <f t="shared" si="6"/>
        <v>5.5769658751270157E-4</v>
      </c>
      <c r="I20">
        <f t="shared" si="7"/>
        <v>-1.9578982263268818E-2</v>
      </c>
      <c r="J20">
        <f t="shared" si="9"/>
        <v>1.8585098649070986E-4</v>
      </c>
      <c r="K20">
        <f t="shared" si="10"/>
        <v>-1.4438411301946008E-2</v>
      </c>
      <c r="L20">
        <f t="shared" si="11"/>
        <v>9.658637305399731E-3</v>
      </c>
      <c r="O20" s="5"/>
      <c r="P20" s="5"/>
      <c r="Q20" s="5"/>
    </row>
    <row r="21" spans="1:17" x14ac:dyDescent="0.2">
      <c r="A21" s="3">
        <v>43332</v>
      </c>
      <c r="B21">
        <v>106.870003</v>
      </c>
      <c r="C21">
        <v>215.46000699999999</v>
      </c>
      <c r="D21">
        <v>308.44000199999999</v>
      </c>
      <c r="E21">
        <f t="shared" si="3"/>
        <v>6.643576121168504E-3</v>
      </c>
      <c r="F21">
        <f t="shared" si="4"/>
        <v>9.8393898223534393E-3</v>
      </c>
      <c r="G21">
        <f t="shared" si="5"/>
        <v>-9.5318440569844842E-3</v>
      </c>
      <c r="H21">
        <f t="shared" si="6"/>
        <v>6.643576121168504E-3</v>
      </c>
      <c r="I21">
        <f t="shared" si="7"/>
        <v>9.8393898223534393E-3</v>
      </c>
      <c r="J21">
        <f t="shared" si="9"/>
        <v>5.5769658751270157E-4</v>
      </c>
      <c r="K21">
        <f t="shared" si="10"/>
        <v>-1.9578982263268818E-2</v>
      </c>
      <c r="L21">
        <f t="shared" si="11"/>
        <v>9.8036045826513929E-2</v>
      </c>
      <c r="O21" s="5"/>
      <c r="P21" s="5"/>
      <c r="Q21" s="5"/>
    </row>
    <row r="22" spans="1:17" x14ac:dyDescent="0.2">
      <c r="A22" s="3">
        <v>43333</v>
      </c>
      <c r="B22">
        <v>105.980003</v>
      </c>
      <c r="C22">
        <v>215.03999300000001</v>
      </c>
      <c r="D22">
        <v>321.89999399999999</v>
      </c>
      <c r="E22">
        <f t="shared" si="3"/>
        <v>8.3978106699997834E-3</v>
      </c>
      <c r="F22">
        <f t="shared" si="4"/>
        <v>1.9531901677469765E-3</v>
      </c>
      <c r="G22">
        <f t="shared" si="5"/>
        <v>-4.1814203948074669E-2</v>
      </c>
      <c r="H22">
        <f t="shared" si="6"/>
        <v>8.3978106699997834E-3</v>
      </c>
      <c r="I22">
        <f t="shared" si="7"/>
        <v>1.9531901677469765E-3</v>
      </c>
      <c r="J22">
        <f t="shared" si="9"/>
        <v>6.643576121168504E-3</v>
      </c>
      <c r="K22">
        <f t="shared" si="10"/>
        <v>9.8393898223534393E-3</v>
      </c>
      <c r="L22">
        <f t="shared" si="11"/>
        <v>-9.5318440569844842E-3</v>
      </c>
    </row>
    <row r="23" spans="1:17" x14ac:dyDescent="0.2">
      <c r="A23" s="3">
        <v>43334</v>
      </c>
      <c r="B23">
        <v>107.05999799999999</v>
      </c>
      <c r="C23">
        <v>215.050003</v>
      </c>
      <c r="D23">
        <v>321.64001500000001</v>
      </c>
      <c r="E23">
        <f t="shared" si="3"/>
        <v>-1.0087754718620445E-2</v>
      </c>
      <c r="F23">
        <f t="shared" si="4"/>
        <v>-4.6547313928613221E-5</v>
      </c>
      <c r="G23">
        <f t="shared" si="5"/>
        <v>8.0829184142405808E-4</v>
      </c>
      <c r="H23">
        <f t="shared" si="6"/>
        <v>-1.0087754718620445E-2</v>
      </c>
      <c r="I23">
        <f t="shared" si="7"/>
        <v>-4.6547313928613221E-5</v>
      </c>
      <c r="J23">
        <f t="shared" si="9"/>
        <v>8.3978106699997834E-3</v>
      </c>
      <c r="K23">
        <f t="shared" si="10"/>
        <v>1.9531901677469765E-3</v>
      </c>
      <c r="L23">
        <f t="shared" si="11"/>
        <v>-4.1814203948074669E-2</v>
      </c>
    </row>
    <row r="24" spans="1:17" x14ac:dyDescent="0.2">
      <c r="A24" s="3">
        <v>43335</v>
      </c>
      <c r="B24">
        <v>107.55999799999999</v>
      </c>
      <c r="C24">
        <v>215.490005</v>
      </c>
      <c r="D24">
        <v>320.10000600000001</v>
      </c>
      <c r="E24">
        <f t="shared" si="3"/>
        <v>-4.6485683274185563E-3</v>
      </c>
      <c r="F24">
        <f t="shared" si="4"/>
        <v>-2.0418673246584973E-3</v>
      </c>
      <c r="G24">
        <f t="shared" si="5"/>
        <v>4.8110245896091364E-3</v>
      </c>
      <c r="H24">
        <f t="shared" si="6"/>
        <v>-4.6485683274185563E-3</v>
      </c>
      <c r="I24">
        <f t="shared" si="7"/>
        <v>-2.0418673246584973E-3</v>
      </c>
      <c r="J24">
        <f t="shared" si="9"/>
        <v>-1.0087754718620445E-2</v>
      </c>
      <c r="K24">
        <f t="shared" si="10"/>
        <v>-4.6547313928613221E-5</v>
      </c>
      <c r="L24">
        <f t="shared" si="11"/>
        <v>8.0829184142405808E-4</v>
      </c>
    </row>
    <row r="25" spans="1:17" x14ac:dyDescent="0.2">
      <c r="A25" s="3">
        <v>43336</v>
      </c>
      <c r="B25">
        <v>108.400002</v>
      </c>
      <c r="C25">
        <v>216.16000399999999</v>
      </c>
      <c r="D25">
        <v>322.82000699999998</v>
      </c>
      <c r="E25">
        <f t="shared" si="3"/>
        <v>-7.7491142481713737E-3</v>
      </c>
      <c r="F25">
        <f t="shared" si="4"/>
        <v>-3.0995512009704962E-3</v>
      </c>
      <c r="G25">
        <f t="shared" si="5"/>
        <v>-8.4257510099117194E-3</v>
      </c>
      <c r="H25">
        <f t="shared" si="6"/>
        <v>-7.7491142481713737E-3</v>
      </c>
      <c r="I25">
        <f t="shared" si="7"/>
        <v>-3.0995512009704962E-3</v>
      </c>
      <c r="J25">
        <f t="shared" si="9"/>
        <v>-4.6485683274185563E-3</v>
      </c>
      <c r="K25">
        <f t="shared" si="10"/>
        <v>-2.0418673246584973E-3</v>
      </c>
      <c r="L25">
        <f t="shared" si="11"/>
        <v>4.8110245896091364E-3</v>
      </c>
    </row>
    <row r="27" spans="1:17" x14ac:dyDescent="0.2">
      <c r="D27" t="s">
        <v>28</v>
      </c>
      <c r="E27" t="s">
        <v>34</v>
      </c>
      <c r="F27" t="s">
        <v>33</v>
      </c>
      <c r="G27" t="s">
        <v>32</v>
      </c>
    </row>
    <row r="28" spans="1:17" x14ac:dyDescent="0.2">
      <c r="E28">
        <f t="array" ref="E28:G32">LINEST(E4:E25,F4:G25,1,1)</f>
        <v>5.9696696657087288E-2</v>
      </c>
      <c r="F28">
        <v>0.21268907749389848</v>
      </c>
      <c r="G28">
        <v>1.9429160646851501E-3</v>
      </c>
    </row>
    <row r="29" spans="1:17" x14ac:dyDescent="0.2">
      <c r="E29">
        <v>4.0828625378474953E-2</v>
      </c>
      <c r="F29">
        <v>0.13079718133902951</v>
      </c>
      <c r="G29">
        <v>2.0035634013361751E-3</v>
      </c>
    </row>
    <row r="30" spans="1:17" x14ac:dyDescent="0.2">
      <c r="D30" t="s">
        <v>37</v>
      </c>
      <c r="E30">
        <v>0.21546457114447337</v>
      </c>
      <c r="F30">
        <v>8.9348511187222913E-3</v>
      </c>
      <c r="G30" t="e">
        <v>#N/A</v>
      </c>
    </row>
    <row r="31" spans="1:17" x14ac:dyDescent="0.2">
      <c r="E31">
        <v>2.6090771054896988</v>
      </c>
      <c r="F31">
        <v>19</v>
      </c>
      <c r="G31" t="e">
        <v>#N/A</v>
      </c>
    </row>
    <row r="32" spans="1:17" x14ac:dyDescent="0.2">
      <c r="E32">
        <v>4.1657341453640927E-4</v>
      </c>
      <c r="F32">
        <v>1.5167997257609267E-3</v>
      </c>
      <c r="G32" t="e">
        <v>#N/A</v>
      </c>
    </row>
    <row r="34" spans="4:7" x14ac:dyDescent="0.2">
      <c r="D34" t="s">
        <v>29</v>
      </c>
      <c r="E34" t="s">
        <v>36</v>
      </c>
      <c r="F34" t="s">
        <v>35</v>
      </c>
      <c r="G34" t="str">
        <f>G27</f>
        <v>intercept</v>
      </c>
    </row>
    <row r="35" spans="4:7" x14ac:dyDescent="0.2">
      <c r="E35">
        <f t="array" ref="E35:G39">LINEST(F4:F25,G4:H25,1,1)</f>
        <v>0.57439012398256384</v>
      </c>
      <c r="F35">
        <v>-1.1277134476359854E-2</v>
      </c>
      <c r="G35">
        <v>-5.2763352370261548E-3</v>
      </c>
    </row>
    <row r="36" spans="4:7" x14ac:dyDescent="0.2">
      <c r="E36">
        <v>0.35323209866313093</v>
      </c>
      <c r="F36">
        <v>7.072265318738806E-2</v>
      </c>
      <c r="G36">
        <v>3.1483765261365814E-3</v>
      </c>
    </row>
    <row r="37" spans="4:7" x14ac:dyDescent="0.2">
      <c r="D37" t="s">
        <v>37</v>
      </c>
      <c r="E37">
        <v>0.12835758030938862</v>
      </c>
      <c r="F37">
        <v>1.4683115279212559E-2</v>
      </c>
      <c r="G37" t="e">
        <v>#N/A</v>
      </c>
    </row>
    <row r="38" spans="4:7" x14ac:dyDescent="0.2">
      <c r="E38">
        <v>1.3989647421840892</v>
      </c>
      <c r="F38">
        <v>19</v>
      </c>
      <c r="G38" t="e">
        <v>#N/A</v>
      </c>
    </row>
    <row r="39" spans="4:7" x14ac:dyDescent="0.2">
      <c r="E39">
        <v>6.0321645756053824E-4</v>
      </c>
      <c r="F39">
        <v>4.0962836117502607E-3</v>
      </c>
      <c r="G39" t="e">
        <v>#N/A</v>
      </c>
    </row>
    <row r="41" spans="4:7" x14ac:dyDescent="0.2">
      <c r="D41" t="s">
        <v>30</v>
      </c>
      <c r="E41" t="s">
        <v>33</v>
      </c>
      <c r="F41" t="s">
        <v>36</v>
      </c>
      <c r="G41" t="str">
        <f>G34</f>
        <v>intercept</v>
      </c>
    </row>
    <row r="42" spans="4:7" x14ac:dyDescent="0.2">
      <c r="E42">
        <f t="array" ref="E42:G46">LINEST(G4:G25,H4:I25,1,1)</f>
        <v>-0.11850789285373563</v>
      </c>
      <c r="F42">
        <v>1.6941840677668918</v>
      </c>
      <c r="G42">
        <v>-2.9346536564896302E-3</v>
      </c>
    </row>
    <row r="43" spans="4:7" x14ac:dyDescent="0.2">
      <c r="E43">
        <v>0.74320232891008797</v>
      </c>
      <c r="F43">
        <v>1.1587107913587229</v>
      </c>
      <c r="G43">
        <v>1.0913733070301343E-2</v>
      </c>
    </row>
    <row r="44" spans="4:7" x14ac:dyDescent="0.2">
      <c r="D44" t="s">
        <v>37</v>
      </c>
      <c r="E44">
        <v>0.10747658001332151</v>
      </c>
      <c r="F44">
        <v>4.7598412341214084E-2</v>
      </c>
      <c r="G44" t="e">
        <v>#N/A</v>
      </c>
    </row>
    <row r="45" spans="4:7" x14ac:dyDescent="0.2">
      <c r="E45">
        <v>1.1439783957061809</v>
      </c>
      <c r="F45">
        <v>19</v>
      </c>
      <c r="G45" t="e">
        <v>#N/A</v>
      </c>
    </row>
    <row r="46" spans="4:7" x14ac:dyDescent="0.2">
      <c r="E46">
        <v>5.1836151719820353E-3</v>
      </c>
      <c r="F46">
        <v>4.3046568290680584E-2</v>
      </c>
      <c r="G46" t="e">
        <v>#N/A</v>
      </c>
    </row>
    <row r="48" spans="4:7" x14ac:dyDescent="0.2">
      <c r="D48" t="s">
        <v>38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 (2)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2018-08-25T19:13:46Z</dcterms:created>
  <dcterms:modified xsi:type="dcterms:W3CDTF">2018-08-25T20:46:20Z</dcterms:modified>
</cp:coreProperties>
</file>